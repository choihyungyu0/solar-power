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ung\Downloads\"/>
    </mc:Choice>
  </mc:AlternateContent>
  <xr:revisionPtr revIDLastSave="0" documentId="13_ncr:1_{EC43DD94-5CD2-4BDC-A3B4-D11E674DAB9B}" xr6:coauthVersionLast="47" xr6:coauthVersionMax="47" xr10:uidLastSave="{00000000-0000-0000-0000-000000000000}"/>
  <bookViews>
    <workbookView xWindow="57480" yWindow="6855" windowWidth="29040" windowHeight="15720" tabRatio="500" activeTab="1" xr2:uid="{00000000-000D-0000-FFFF-FFFF00000000}"/>
  </bookViews>
  <sheets>
    <sheet name="00_메타정보" sheetId="1" r:id="rId1"/>
    <sheet name="01_지원사업" sheetId="2" r:id="rId2"/>
    <sheet name="02_경기주택태양광_시군별" sheetId="3" r:id="rId3"/>
  </sheets>
  <definedNames>
    <definedName name="_xlnm._FilterDatabase" localSheetId="1" hidden="1">'01_지원사업'!$A$1:$L$12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3" l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</calcChain>
</file>

<file path=xl/sharedStrings.xml><?xml version="1.0" encoding="utf-8"?>
<sst xmlns="http://schemas.openxmlformats.org/spreadsheetml/2006/main" count="229" uniqueCount="208">
  <si>
    <t>■ 시트 구성</t>
  </si>
  <si>
    <t>시트명</t>
  </si>
  <si>
    <t>내용</t>
  </si>
  <si>
    <t>주요 출처</t>
  </si>
  <si>
    <t>-</t>
  </si>
  <si>
    <t>구분</t>
  </si>
  <si>
    <t>중복 가능</t>
  </si>
  <si>
    <t>보조사업 ↔ 태양광 대여사업 중복 불가</t>
  </si>
  <si>
    <t>■ 건물유형별 최대 지원 요약</t>
  </si>
  <si>
    <t>건물유형</t>
  </si>
  <si>
    <t>대표 적용사업</t>
  </si>
  <si>
    <t>아파트 공용부</t>
  </si>
  <si>
    <t>한국에너지공단 건물지원</t>
  </si>
  <si>
    <t>No</t>
  </si>
  <si>
    <t>지원사업명</t>
  </si>
  <si>
    <t>운영주체</t>
  </si>
  <si>
    <t>지원대상</t>
  </si>
  <si>
    <t>지원내용</t>
  </si>
  <si>
    <t>용량 기준</t>
  </si>
  <si>
    <t>확인 링크</t>
  </si>
  <si>
    <t>보조금</t>
  </si>
  <si>
    <t>경기도 주택태양광 지원사업</t>
  </si>
  <si>
    <t>https://ggre100home.or.kr/view/home</t>
  </si>
  <si>
    <t>https://www.knrec.or.kr/biz/introduce/new_engy/intro_home.do?gubun=A</t>
  </si>
  <si>
    <t>아파트 공용부 태양광 설치비 국비 보조</t>
  </si>
  <si>
    <t>https://www.knrec.or.kr/biz/introduce/new_engy/intro_build.do?gubun=A</t>
  </si>
  <si>
    <t>https://www.knrec.or.kr/biz/introduce/new_ib/intro_sunshine_dure.do?gubun=B</t>
  </si>
  <si>
    <t>https://ggre100home.or.kr/view/biz/aptSolar</t>
  </si>
  <si>
    <t>https://ggre100home.or.kr/view/biz/selfEnergyVillage</t>
  </si>
  <si>
    <t>https://ggre100home.or.kr/view/biz/incomeVillage</t>
  </si>
  <si>
    <t>융자</t>
  </si>
  <si>
    <t>https://www.knrec.or.kr/biz/introduce/new_fin/intro_fin.do?gubun=A</t>
  </si>
  <si>
    <t>경기도 에너지 융자지원 사업</t>
  </si>
  <si>
    <t>경기도</t>
  </si>
  <si>
    <t>소규모 태양광 발전소 설치 저금리 융자</t>
  </si>
  <si>
    <t>https://www.ggenergy.or.kr/energy/supportnewview</t>
  </si>
  <si>
    <r>
      <rPr>
        <b/>
        <sz val="13"/>
        <color rgb="FF1F4E78"/>
        <rFont val="맑은 고딕"/>
        <family val="3"/>
        <charset val="129"/>
      </rPr>
      <t>2026</t>
    </r>
    <r>
      <rPr>
        <b/>
        <sz val="13"/>
        <color rgb="FF1F4E78"/>
        <rFont val="Noto Sans CJK SC"/>
        <family val="2"/>
      </rPr>
      <t>년 경기도 주택태양광</t>
    </r>
    <r>
      <rPr>
        <b/>
        <sz val="13"/>
        <color rgb="FF1F4E78"/>
        <rFont val="맑은 고딕"/>
        <family val="3"/>
        <charset val="129"/>
      </rPr>
      <t xml:space="preserve">(3kW) </t>
    </r>
    <r>
      <rPr>
        <b/>
        <sz val="13"/>
        <color rgb="FF1F4E78"/>
        <rFont val="Noto Sans CJK SC"/>
        <family val="2"/>
      </rPr>
      <t>시</t>
    </r>
    <r>
      <rPr>
        <b/>
        <sz val="13"/>
        <color rgb="FF1F4E78"/>
        <rFont val="맑은 고딕"/>
        <family val="3"/>
        <charset val="129"/>
      </rPr>
      <t>·</t>
    </r>
    <r>
      <rPr>
        <b/>
        <sz val="13"/>
        <color rgb="FF1F4E78"/>
        <rFont val="Noto Sans CJK SC"/>
        <family val="2"/>
      </rPr>
      <t>군별 보조금</t>
    </r>
  </si>
  <si>
    <r>
      <rPr>
        <sz val="9"/>
        <color rgb="FF808080"/>
        <rFont val="Noto Sans CJK SC"/>
        <family val="2"/>
      </rPr>
      <t>출처</t>
    </r>
    <r>
      <rPr>
        <sz val="9"/>
        <color rgb="FF808080"/>
        <rFont val="맑은 고딕"/>
        <family val="3"/>
        <charset val="129"/>
      </rPr>
      <t>: [</t>
    </r>
    <r>
      <rPr>
        <sz val="9"/>
        <color rgb="FF808080"/>
        <rFont val="Noto Sans CJK SC"/>
        <family val="2"/>
      </rPr>
      <t>붙임</t>
    </r>
    <r>
      <rPr>
        <sz val="9"/>
        <color rgb="FF808080"/>
        <rFont val="맑은 고딕"/>
        <family val="3"/>
        <charset val="129"/>
      </rPr>
      <t>] 2026</t>
    </r>
    <r>
      <rPr>
        <sz val="9"/>
        <color rgb="FF808080"/>
        <rFont val="Noto Sans CJK SC"/>
        <family val="2"/>
      </rPr>
      <t>년 경기도 주택태양광 지원사업 시</t>
    </r>
    <r>
      <rPr>
        <sz val="9"/>
        <color rgb="FF808080"/>
        <rFont val="맑은 고딕"/>
        <family val="3"/>
        <charset val="129"/>
      </rPr>
      <t>·</t>
    </r>
    <r>
      <rPr>
        <sz val="9"/>
        <color rgb="FF808080"/>
        <rFont val="Noto Sans CJK SC"/>
        <family val="2"/>
      </rPr>
      <t xml:space="preserve">군 지원 물량 </t>
    </r>
    <r>
      <rPr>
        <sz val="9"/>
        <color rgb="FF808080"/>
        <rFont val="맑은 고딕"/>
        <family val="3"/>
        <charset val="129"/>
      </rPr>
      <t>(260325)</t>
    </r>
  </si>
  <si>
    <t>시군명</t>
  </si>
  <si>
    <t>지원 가구수</t>
  </si>
  <si>
    <r>
      <rPr>
        <b/>
        <sz val="10"/>
        <color rgb="FFFFFFFF"/>
        <rFont val="Noto Sans CJK SC"/>
        <family val="2"/>
      </rPr>
      <t>도 지원금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천원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</si>
  <si>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시군 보조금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천원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</si>
  <si>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자부담금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천원</t>
    </r>
    <r>
      <rPr>
        <b/>
        <sz val="10"/>
        <color rgb="FFFFFFFF"/>
        <rFont val="맑은 고딕"/>
        <family val="3"/>
        <charset val="129"/>
      </rPr>
      <t>)</t>
    </r>
  </si>
  <si>
    <t>시군 보조금 비율</t>
  </si>
  <si>
    <r>
      <rPr>
        <b/>
        <sz val="10"/>
        <color rgb="FFFFFFFF"/>
        <rFont val="Noto Sans CJK SC"/>
        <family val="2"/>
      </rPr>
      <t>총 지원율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도</t>
    </r>
    <r>
      <rPr>
        <b/>
        <sz val="10"/>
        <color rgb="FFFFFFFF"/>
        <rFont val="맑은 고딕"/>
        <family val="3"/>
        <charset val="129"/>
      </rPr>
      <t>+</t>
    </r>
    <r>
      <rPr>
        <b/>
        <sz val="10"/>
        <color rgb="FFFFFFFF"/>
        <rFont val="Noto Sans CJK SC"/>
        <family val="2"/>
      </rPr>
      <t>시군</t>
    </r>
    <r>
      <rPr>
        <b/>
        <sz val="10"/>
        <color rgb="FFFFFFFF"/>
        <rFont val="맑은 고딕"/>
        <family val="3"/>
        <charset val="129"/>
      </rPr>
      <t>)</t>
    </r>
  </si>
  <si>
    <t>가평군</t>
  </si>
  <si>
    <t>고양시</t>
  </si>
  <si>
    <t>과천시</t>
  </si>
  <si>
    <t>광명시</t>
  </si>
  <si>
    <t>광주시</t>
  </si>
  <si>
    <t>구리시</t>
  </si>
  <si>
    <t>군포시</t>
  </si>
  <si>
    <t>남양주시</t>
  </si>
  <si>
    <t>동두천시</t>
  </si>
  <si>
    <t>부천시</t>
  </si>
  <si>
    <t>성남시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</si>
  <si>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</si>
  <si>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</si>
  <si>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</si>
  <si>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</si>
  <si>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</si>
  <si>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</si>
  <si>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</si>
  <si>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</si>
  <si>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</si>
  <si>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</si>
  <si>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</si>
  <si>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</si>
  <si>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</si>
  <si>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</si>
  <si>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</si>
  <si>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r>
      <rPr>
        <b/>
        <sz val="10"/>
        <color rgb="FFFFFFFF"/>
        <rFont val="Noto Sans CJK SC"/>
        <family val="2"/>
      </rPr>
      <t>합계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참여</t>
    </r>
  </si>
  <si>
    <r>
      <rPr>
        <b/>
        <sz val="10"/>
        <color rgb="FFC00000"/>
        <rFont val="Noto Sans CJK SC"/>
        <family val="2"/>
      </rPr>
      <t>미참여</t>
    </r>
    <r>
      <rPr>
        <b/>
        <sz val="10"/>
        <color rgb="FFC00000"/>
        <rFont val="맑은 고딕"/>
        <family val="3"/>
        <charset val="129"/>
      </rPr>
      <t>(5)</t>
    </r>
  </si>
  <si>
    <r>
      <rPr>
        <b/>
        <sz val="10"/>
        <color rgb="FFC00000"/>
        <rFont val="Noto Sans CJK SC"/>
        <family val="2"/>
      </rPr>
      <t>수원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Noto Sans CJK SC"/>
        <family val="2"/>
      </rPr>
      <t>안산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Noto Sans CJK SC"/>
        <family val="2"/>
      </rPr>
      <t>시흥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Noto Sans CJK SC"/>
        <family val="2"/>
      </rPr>
      <t>김포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Noto Sans CJK SC"/>
        <family val="2"/>
      </rPr>
      <t>안성</t>
    </r>
  </si>
  <si>
    <r>
      <rPr>
        <sz val="9"/>
        <color rgb="FF595959"/>
        <rFont val="Noto Sans CJK SC"/>
        <family val="2"/>
      </rPr>
      <t>※ 광명시</t>
    </r>
    <r>
      <rPr>
        <sz val="9"/>
        <color rgb="FF595959"/>
        <rFont val="맑은 고딕"/>
        <family val="3"/>
        <charset val="129"/>
      </rPr>
      <t>(47.7%)·</t>
    </r>
    <r>
      <rPr>
        <sz val="9"/>
        <color rgb="FF595959"/>
        <rFont val="Noto Sans CJK SC"/>
        <family val="2"/>
      </rPr>
      <t>연천</t>
    </r>
    <r>
      <rPr>
        <sz val="9"/>
        <color rgb="FF595959"/>
        <rFont val="맑은 고딕"/>
        <family val="3"/>
        <charset val="129"/>
      </rPr>
      <t>(34%)·</t>
    </r>
    <r>
      <rPr>
        <sz val="9"/>
        <color rgb="FF595959"/>
        <rFont val="Noto Sans CJK SC"/>
        <family val="2"/>
      </rPr>
      <t>성남</t>
    </r>
    <r>
      <rPr>
        <sz val="9"/>
        <color rgb="FF595959"/>
        <rFont val="맑은 고딕"/>
        <family val="3"/>
        <charset val="129"/>
      </rPr>
      <t>(32.7%)</t>
    </r>
    <r>
      <rPr>
        <sz val="9"/>
        <color rgb="FF595959"/>
        <rFont val="Noto Sans CJK SC"/>
        <family val="2"/>
      </rPr>
      <t>이 시군비 높음</t>
    </r>
    <r>
      <rPr>
        <sz val="9"/>
        <color rgb="FF595959"/>
        <rFont val="맑은 고딕"/>
        <family val="3"/>
        <charset val="129"/>
      </rPr>
      <t xml:space="preserve">. </t>
    </r>
    <r>
      <rPr>
        <sz val="9"/>
        <color rgb="FF595959"/>
        <rFont val="Noto Sans CJK SC"/>
        <family val="2"/>
      </rPr>
      <t xml:space="preserve">화성시는 </t>
    </r>
    <r>
      <rPr>
        <sz val="9"/>
        <color rgb="FF595959"/>
        <rFont val="맑은 고딕"/>
        <family val="3"/>
        <charset val="129"/>
      </rPr>
      <t>20.4%(925</t>
    </r>
    <r>
      <rPr>
        <sz val="9"/>
        <color rgb="FF595959"/>
        <rFont val="Noto Sans CJK SC"/>
        <family val="2"/>
      </rPr>
      <t>천원</t>
    </r>
    <r>
      <rPr>
        <sz val="9"/>
        <color rgb="FF595959"/>
        <rFont val="맑은 고딕"/>
        <family val="3"/>
        <charset val="129"/>
      </rPr>
      <t xml:space="preserve">), </t>
    </r>
    <r>
      <rPr>
        <sz val="9"/>
        <color rgb="FF595959"/>
        <rFont val="Noto Sans CJK SC"/>
        <family val="2"/>
      </rPr>
      <t xml:space="preserve">자부담 </t>
    </r>
    <r>
      <rPr>
        <sz val="9"/>
        <color rgb="FF595959"/>
        <rFont val="맑은 고딕"/>
        <family val="3"/>
        <charset val="129"/>
      </rPr>
      <t>1,800</t>
    </r>
    <r>
      <rPr>
        <sz val="9"/>
        <color rgb="FF595959"/>
        <rFont val="Noto Sans CJK SC"/>
        <family val="2"/>
      </rPr>
      <t>천원</t>
    </r>
    <r>
      <rPr>
        <sz val="9"/>
        <color rgb="FF595959"/>
        <rFont val="맑은 고딕"/>
        <family val="3"/>
        <charset val="129"/>
      </rPr>
      <t>(40%).</t>
    </r>
  </si>
  <si>
    <r>
      <rPr>
        <sz val="9"/>
        <color rgb="FF595959"/>
        <rFont val="Noto Sans CJK SC"/>
        <family val="2"/>
      </rPr>
      <t xml:space="preserve">※ 도 지원금 </t>
    </r>
    <r>
      <rPr>
        <sz val="9"/>
        <color rgb="FF595959"/>
        <rFont val="맑은 고딕"/>
        <family val="3"/>
        <charset val="129"/>
      </rPr>
      <t>1,816</t>
    </r>
    <r>
      <rPr>
        <sz val="9"/>
        <color rgb="FF595959"/>
        <rFont val="Noto Sans CJK SC"/>
        <family val="2"/>
      </rPr>
      <t>천원</t>
    </r>
    <r>
      <rPr>
        <sz val="9"/>
        <color rgb="FF595959"/>
        <rFont val="맑은 고딕"/>
        <family val="3"/>
        <charset val="129"/>
      </rPr>
      <t>(40%)</t>
    </r>
    <r>
      <rPr>
        <sz val="9"/>
        <color rgb="FF595959"/>
        <rFont val="Noto Sans CJK SC"/>
        <family val="2"/>
      </rPr>
      <t>은 전 시군 동일</t>
    </r>
    <r>
      <rPr>
        <sz val="9"/>
        <color rgb="FF595959"/>
        <rFont val="맑은 고딕"/>
        <family val="3"/>
        <charset val="129"/>
      </rPr>
      <t xml:space="preserve">. </t>
    </r>
    <r>
      <rPr>
        <sz val="9"/>
        <color rgb="FF595959"/>
        <rFont val="Noto Sans CJK SC"/>
        <family val="2"/>
      </rPr>
      <t xml:space="preserve">총 </t>
    </r>
    <r>
      <rPr>
        <sz val="9"/>
        <color rgb="FF595959"/>
        <rFont val="맑은 고딕"/>
        <family val="3"/>
        <charset val="129"/>
      </rPr>
      <t>1,520</t>
    </r>
    <r>
      <rPr>
        <sz val="9"/>
        <color rgb="FF595959"/>
        <rFont val="Noto Sans CJK SC"/>
        <family val="2"/>
      </rPr>
      <t>가구</t>
    </r>
    <r>
      <rPr>
        <sz val="9"/>
        <color rgb="FF595959"/>
        <rFont val="맑은 고딕"/>
        <family val="3"/>
        <charset val="129"/>
      </rPr>
      <t xml:space="preserve">. </t>
    </r>
    <r>
      <rPr>
        <sz val="9"/>
        <color rgb="FF595959"/>
        <rFont val="Noto Sans CJK SC"/>
        <family val="2"/>
      </rPr>
      <t>물량은 추진에 따라 변동 가능</t>
    </r>
    <r>
      <rPr>
        <sz val="9"/>
        <color rgb="FF595959"/>
        <rFont val="맑은 고딕"/>
        <family val="3"/>
        <charset val="129"/>
      </rPr>
      <t>.</t>
    </r>
  </si>
  <si>
    <t>중복 불가 경우 1</t>
    <phoneticPr fontId="21" type="noConversion"/>
  </si>
  <si>
    <t>중복 불가 경우 2</t>
    <phoneticPr fontId="21" type="noConversion"/>
  </si>
  <si>
    <t>태양광 설치 지원사업 매트릭스 (보조금·융자)</t>
  </si>
  <si>
    <t>2026년 지원사업 기준</t>
    <phoneticPr fontId="21" type="noConversion"/>
  </si>
  <si>
    <t>00_메타정보</t>
  </si>
  <si>
    <t>본 시트. 전체 구성·공통전제·핵심요약·중복규칙 안내</t>
  </si>
  <si>
    <t>01_지원사업_매트릭스</t>
  </si>
  <si>
    <t>보조금·융자 지원사업 11종 통합 정리 (지원대상·자격·내용·한도·링크)</t>
  </si>
  <si>
    <t>02_경기주택태양광_시군별</t>
  </si>
  <si>
    <t>2026 경기도 주택태양광 26개 참여 시군별 보조금·자부담 (화성 포함)</t>
  </si>
  <si>
    <t>시군별 지원물량 공고(붙임)</t>
  </si>
  <si>
    <t>■ 공통 전제 · 표준 파라미터</t>
  </si>
  <si>
    <t>· 주택태양광(3kW) 총 설치비 상한액: 4,541천원 (경기도 2026 공고 기준)</t>
  </si>
  <si>
    <t>· 설치단가(일반): 약 130~180만원/kW (평균 150만원) · 모듈 550~600W · 1kW당 약 7㎡</t>
  </si>
  <si>
    <t>· 표준 발전: 일 발전시간 3.5h · 시스템효율(PR) 85% · 연 발전량 ≈ 용량(kW)×1,086kWh</t>
  </si>
  <si>
    <t>· 절감단가: 약 130원/kWh (자가소비, 가정용 기준) · CO2 0.425kg/kWh</t>
  </si>
  <si>
    <t>· 저탄소모듈 의무: 탄소배출량 655kg·CO2-eq/kW 이하 인정제품 (경기/화성 공고 공통)</t>
  </si>
  <si>
    <t>· 주요자재(모듈·인버터)는 조달청 나라장터 등록제품 구매 의무</t>
  </si>
  <si>
    <t>■ 중복수혜 규칙 (매칭 시 필수 적용)</t>
  </si>
  <si>
    <t>국비(주택/건물지원) + 도비 + 시군비 조합은 한 사업 내에서 패키지로 적용 (경기 주택태양광 = 도비40%+시군비)</t>
  </si>
  <si>
    <t>경기도 주택태양광 ↔ 한국에너지공단 주택지원·융복합·RE100소득마을 등 중복 불가 (경기/화성 공고 명시)</t>
  </si>
  <si>
    <t>중복 불가 경우 3</t>
    <phoneticPr fontId="21" type="noConversion"/>
  </si>
  <si>
    <t>국가·지자체 소유 건물 제외 / 자가소비용에 한함 / 설치 전 승인 필수(선시공 불가)</t>
  </si>
  <si>
    <t>융자 별도</t>
    <phoneticPr fontId="21" type="noConversion"/>
  </si>
  <si>
    <t>금융지원(융자)은 보조금과 별개로 자부담분 충당 가능 (단, 공공기관 무상지원분은 융자 대상 제외)</t>
  </si>
  <si>
    <t>최대 지원율(설치비 대비)</t>
  </si>
  <si>
    <t>단독주택(3kW)</t>
  </si>
  <si>
    <t>약 60% (도40+시20.4) · 광명시는 최대 87.7%</t>
  </si>
  <si>
    <t>경기 RE100 소득마을 아파트형</t>
  </si>
  <si>
    <t>60% (도30+시30), 자가용 최대 120kW</t>
  </si>
  <si>
    <t>일반건물·상가</t>
  </si>
  <si>
    <t>마을(상업용)</t>
  </si>
  <si>
    <t>RE100 소득마을 마을형 / 햇빛두레</t>
  </si>
  <si>
    <t>마을형 70%(도30+시40) · 햇빛두레 500kW~1MW</t>
  </si>
  <si>
    <t>사업자·공장(융자)</t>
  </si>
  <si>
    <t>금융지원/경기 에너지융자</t>
  </si>
  <si>
    <t>융자 1.75~1.8%, 시설비 최대 90%</t>
  </si>
  <si>
    <t>경기 주택태양광</t>
    <phoneticPr fontId="21" type="noConversion"/>
  </si>
  <si>
    <t>고정식 576천원/kW (100kW 이하)</t>
    <phoneticPr fontId="21" type="noConversion"/>
  </si>
  <si>
    <t>https://ggre100home.or.kr/view/cs/noticeDetail</t>
    <phoneticPr fontId="21" type="noConversion"/>
  </si>
  <si>
    <t>지원자격(조건)</t>
  </si>
  <si>
    <t>지원한도
(설치비 대비)</t>
  </si>
  <si>
    <t>신청방법·시기</t>
  </si>
  <si>
    <t>비고(출처·중복)</t>
  </si>
  <si>
    <t>경기도
(경기환경에너지진흥원)</t>
  </si>
  <si>
    <t>경기도 소재 단독주택 및 일부 공동주택(세대분리·독립형)</t>
  </si>
  <si>
    <t>기축·신축 주택 소유(예정)자 / 한전 계약종별 '주택용' / 건축물대장 주용도 단독·공동주택 / 자가소비용</t>
  </si>
  <si>
    <t>주택태양광 3kW 고정식 설치비 일부 지원 (도비 40%). 시·군비 별도 추가</t>
  </si>
  <si>
    <t>3kW 고정식
(110%=3.3kW까지)</t>
  </si>
  <si>
    <t>ggre100home.or.kr 온라인 / 사전계약 4.6~4.17, 사업신청 4.20~4.24(시군 선착순)</t>
  </si>
  <si>
    <t>[경기도 공고 제2026-038호] 총4,541천원=도비1,816+시군비+자부담. 공단 주택지원·융복합·RE100소득마을과 중복불가</t>
  </si>
  <si>
    <t>화성시 주택태양광 지원사업(시비 추가)</t>
  </si>
  <si>
    <t>화성시
(경기테크노파크)</t>
  </si>
  <si>
    <t>화성시 소재 단독주택(건축법 별표1)</t>
  </si>
  <si>
    <t>경기 주택태양광 사업 승인·설치확인 완료자 / 지방세·세외수입 미체납 / 한전 주택용 / 자가용</t>
  </si>
  <si>
    <t>경기도 주택태양광과 연계, 화성시비 추가 보조 (3kW 기준 925천원)</t>
  </si>
  <si>
    <t>화성시비 20.4%
(925천원)</t>
  </si>
  <si>
    <t>3kW 고정식</t>
  </si>
  <si>
    <t>ggre100home.or.kr 연계 / 2026.4~12 (사업비 소진 시 종료)</t>
  </si>
  <si>
    <t>[화성시 공고 제2026-1414호] 총4,541천원=도비1,816(40%)+화성시비925(20.4%)+자부담1,800(40%). 123가구. 공단 주택지원 승인가구 제외</t>
    <phoneticPr fontId="21" type="noConversion"/>
  </si>
  <si>
    <t>한국에너지공단 주택지원(단독)</t>
  </si>
  <si>
    <t>한국에너지공단
(국비)</t>
  </si>
  <si>
    <t>기존·신축 단독주택 소유자</t>
  </si>
  <si>
    <t>한전 주택용 계약 / 자가소비용 / 설치 전 신청·승인 / 저탄소모듈</t>
  </si>
  <si>
    <t>단독주택 태양광 설치비 일부 국비 보조 (kW당 고시단가)</t>
  </si>
  <si>
    <t>kW당 고시단가
(보조 약 50~80만원)</t>
  </si>
  <si>
    <t>단독 3kW 이하</t>
  </si>
  <si>
    <t>그린홈(nr.energy.or.kr) → 참여기업 통해 신청 / 연중(예산소진 시 마감)</t>
  </si>
  <si>
    <t>[한국에너지공단 주택지원] 경기 주택태양광과 중복불가(택일). 정확단가는 연도별 공고 확인</t>
  </si>
  <si>
    <t>한국에너지공단 주택지원(공동주택 공용부)</t>
  </si>
  <si>
    <t>공동주택(아파트) 공용부</t>
  </si>
  <si>
    <t>입주자대표회의 의결 / 한전 주택용 / 자가소비용 / 설치 전 승인</t>
  </si>
  <si>
    <t>kW당 약 88.2만원
(2023 기준)</t>
  </si>
  <si>
    <t>공용부 동당 30kW 이내</t>
  </si>
  <si>
    <t>그린홈(nr.energy.or.kr) → 참여기업 / 연중</t>
  </si>
  <si>
    <t>[한국에너지공단 주택지원] 공용부 단가는 리서치 기준(2023). 2026 공고 확인 필요</t>
  </si>
  <si>
    <t>한국에너지공단 건물지원(일반건물)</t>
  </si>
  <si>
    <t>상가·사무실·창고 등 일반건물(주택 제외)</t>
  </si>
  <si>
    <t>자가소비용 / 설치 전 승인 / 저탄소모듈</t>
  </si>
  <si>
    <t>일반건물 태양광 설치비 국비 보조 (고정식)</t>
  </si>
  <si>
    <t>고정식 576천원/kW</t>
  </si>
  <si>
    <t>100kW 이하</t>
  </si>
  <si>
    <t>그린홈/신재생E 전자민원 / 연도별 공고(2026.3 공고)</t>
  </si>
  <si>
    <t>[한국에너지공단 건물지원] 576천원/kW=2026.3.16 공고 기준. BIPV·추적식 별도단가</t>
  </si>
  <si>
    <t>햇빛두레 발전소(마을 상업용)</t>
  </si>
  <si>
    <t>읍·면·행정동 마을 주민 주도 법인</t>
  </si>
  <si>
    <t>주민 30인 이상·주민지분 50% 초과 법인 / 단일 발전사업허가 / 마을주민 1인 투자 10% 이내</t>
  </si>
  <si>
    <t>마을 건물·공용부지 활용 상업용 태양광 설치, 발전수익 주민 공유</t>
  </si>
  <si>
    <t>사업계획 평가형
(지자체 지원 연계)</t>
  </si>
  <si>
    <t>500kW 이상~1MW 미만</t>
  </si>
  <si>
    <t>참여마을이 기초·광역지자체에 사업계획서 제출 → 센터 평가·선정</t>
  </si>
  <si>
    <t>[한국에너지공단 햇빛두레] 상업용 발전사업(개별건물 보조 아님). 문의 052-920-0822</t>
  </si>
  <si>
    <t>경기 RE100 소득마을 (아파트형)</t>
  </si>
  <si>
    <t>경기도+시군</t>
  </si>
  <si>
    <t>에너지취약·도시가스 미공급 지역 및 아파트 단지 (공용부지)</t>
  </si>
  <si>
    <t>아파트 단지 공용부지 자가용 태양광 / 단지 신청 → 시 검토·심사 → 도 제출</t>
  </si>
  <si>
    <t>아파트 옥상 자가용 태양광 설치비 지원, 공동 전기요금 절감</t>
  </si>
  <si>
    <t>60%
(도30%+시군30%)</t>
  </si>
  <si>
    <t>자가용 최대 120kW</t>
  </si>
  <si>
    <t>ggre100home.or.kr / 시군별 모집(예: ~3월)</t>
  </si>
  <si>
    <t>[경기 RE100 소득마을] 2026 도비128억·200개마을. 수원·평택 120kW 사례 연3천만원 공용전기 절감</t>
  </si>
  <si>
    <t>경기 RE100 소득마을 (자립형)</t>
  </si>
  <si>
    <t>도시가스 미공급·에너지 취약 마을</t>
  </si>
  <si>
    <t>마을 주민 참여 / 민간부지 / 자가소비 중심 에너지 자립</t>
  </si>
  <si>
    <t>마을 태양광 설치비 지원(자가소비형). 전기요금 절감 환원</t>
  </si>
  <si>
    <t>70%
(도30%+시군40%)</t>
  </si>
  <si>
    <t>마을형(자가소비)</t>
  </si>
  <si>
    <t>ggre100home.or.kr / 시군별 모집</t>
  </si>
  <si>
    <t>[경기 RE100 소득마을] 자립형. 융자 아닌 지방비 보조 중심. 자립+소득 복합형 가능</t>
  </si>
  <si>
    <t>경기 RE100 소득마을 (소득형)</t>
  </si>
  <si>
    <t>마을 주민 참여 법인 / 민간부지 / 상업용 발전 수익 배당</t>
  </si>
  <si>
    <t>마을 상업용 태양광 설치비 지원, 햇빛소득 배당·마을기금</t>
  </si>
  <si>
    <t>상업용 최대 99kW</t>
  </si>
  <si>
    <t>[경기 RE100 소득마을] 소득형. 포천 마치미·이천 은골마을 햇빛소득 배당 사례</t>
  </si>
  <si>
    <t>한국에너지공단 금융지원(시설자금)</t>
  </si>
  <si>
    <t>한국에너지공단
(국비 융자)</t>
  </si>
  <si>
    <t>재생에너지 설비 설치자·제조업체 (5,000kW 초과 수력 제외)</t>
  </si>
  <si>
    <t>최소 신청 3,000만원↑(100만원 단위) / 공공기관 무상지원분 제외 / 약정 15개 은행 대출</t>
  </si>
  <si>
    <t>태양광 설비 설치 시설자금 장기·저리 융자</t>
  </si>
  <si>
    <t>지원비율 중소75%/중견55%/RE100대기업35%</t>
  </si>
  <si>
    <t>태양광 시설자금 건별 300억원</t>
  </si>
  <si>
    <t>신재생E 전자민원 신청 → 추천서 → 은행 대출심사 / 연 3차(3·4·7월)</t>
  </si>
  <si>
    <t>[한국에너지공단 금융지원] 금리 1.75%(2025, 분기변동) · 5년거치 10년분할. 2026 금리 확인필요</t>
  </si>
  <si>
    <t>500kW 이하 소규모 태양광 발전사업자(사업자 대상)</t>
  </si>
  <si>
    <t>착공 기준일 충족 / 경기도 소재 발전소</t>
  </si>
  <si>
    <t>도 예산 범위(저리융자)</t>
  </si>
  <si>
    <t>500kW 이하</t>
  </si>
  <si>
    <t>경기도에너지전환(ggenergy.or.kr) 신청</t>
  </si>
  <si>
    <t>[경기도 에너지융자] 금리 1.8%(기존3%→인하) · 8년(3년거치 5년균등). 사업자 대상 추정</t>
  </si>
  <si>
    <t>공고문 + 9개 링크 + 리서치</t>
    <phoneticPr fontId="21" type="noConversion"/>
  </si>
  <si>
    <r>
      <rPr>
        <sz val="9"/>
        <color rgb="FF595959"/>
        <rFont val="맑은 고딕"/>
        <family val="3"/>
        <charset val="129"/>
      </rPr>
      <t>설치비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상한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4,541천원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· 도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지원금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1,816천원(40%) 고정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· 시군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보조금만</t>
    </r>
    <r>
      <rPr>
        <sz val="9"/>
        <color rgb="FF595959"/>
        <rFont val="Arial"/>
        <family val="2"/>
      </rPr>
      <t xml:space="preserve"> </t>
    </r>
    <r>
      <rPr>
        <sz val="9"/>
        <color rgb="FF595959"/>
        <rFont val="맑은 고딕"/>
        <family val="3"/>
        <charset val="129"/>
      </rPr>
      <t>상이</t>
    </r>
    <phoneticPr fontId="21" type="noConversion"/>
  </si>
  <si>
    <t>설치비 상한 4,541천원 · 도 지원금 1,816천원(40%) +시군비 별도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</si>
</sst>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>
    <font>
      <sz val="11"/>
      <color theme="1"/>
      <name val="Calibri"/>
      <family val="2"/>
      <charset val="1"/>
    </font>
    <font>
      <b/>
      <sz val="16"/>
      <color rgb="FF1F4E78"/>
      <name val="맑은 고딕"/>
      <family val="3"/>
      <charset val="129"/>
    </font>
    <font>
      <sz val="10"/>
      <color rgb="FF595959"/>
      <name val="맑은 고딕"/>
      <family val="3"/>
      <charset val="129"/>
    </font>
    <font>
      <sz val="9"/>
      <color rgb="FF808080"/>
      <name val="Noto Sans CJK SC"/>
      <family val="2"/>
    </font>
    <font>
      <sz val="9"/>
      <color rgb="FF808080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.5"/>
      <color rgb="FF000000"/>
      <name val="맑은 고딕"/>
      <family val="3"/>
      <charset val="129"/>
    </font>
    <font>
      <b/>
      <sz val="9.5"/>
      <color rgb="FFC00000"/>
      <name val="맑은 고딕"/>
      <family val="3"/>
      <charset val="129"/>
    </font>
    <font>
      <b/>
      <sz val="13"/>
      <color rgb="FF1F4E78"/>
      <name val="맑은 고딕"/>
      <family val="3"/>
      <charset val="129"/>
    </font>
    <font>
      <b/>
      <sz val="13"/>
      <color rgb="FF1F4E78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8.5"/>
      <color theme="3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sz val="11"/>
      <color theme="3"/>
      <name val="맑은 고딕"/>
      <family val="3"/>
      <charset val="129"/>
    </font>
    <font>
      <sz val="9"/>
      <color rgb="FF595959"/>
      <name val="Arial"/>
      <family val="2"/>
    </font>
    <font>
      <sz val="9"/>
      <color rgb="FF595959"/>
      <name val="Noto Sans CJK S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563C1"/>
      </patternFill>
    </fill>
    <fill>
      <patternFill patternType="solid">
        <fgColor rgb="FFDEEAF6"/>
        <bgColor rgb="FFE2EFDA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6"/>
      </patternFill>
    </fill>
    <fill>
      <patternFill patternType="solid">
        <fgColor rgb="FF548235"/>
        <bgColor rgb="FF339966"/>
      </patternFill>
    </fill>
    <fill>
      <patternFill patternType="solid">
        <fgColor rgb="FFFCE4E4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E2EFDA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0" fillId="9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0" borderId="0" xfId="0" applyFont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" fillId="0" borderId="0" xfId="0" applyFont="1"/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vertical="center"/>
    </xf>
    <xf numFmtId="0" fontId="24" fillId="8" borderId="1" xfId="0" applyFont="1" applyFill="1" applyBorder="1" applyAlignment="1">
      <alignment horizontal="center" vertical="center" wrapText="1"/>
    </xf>
    <xf numFmtId="0" fontId="0" fillId="12" borderId="0" xfId="0" applyFill="1"/>
    <xf numFmtId="0" fontId="27" fillId="0" borderId="0" xfId="0" applyFont="1"/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2CC"/>
      <rgbColor rgb="FFDEEAF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opLeftCell="A3" zoomScaleNormal="100" workbookViewId="0">
      <selection activeCell="C7" sqref="C7"/>
    </sheetView>
  </sheetViews>
  <sheetFormatPr defaultColWidth="8.68359375" defaultRowHeight="16.5"/>
  <cols>
    <col min="1" max="1" width="26" style="21" customWidth="1"/>
    <col min="2" max="3" width="46" style="21" customWidth="1"/>
    <col min="4" max="16384" width="8.68359375" style="21"/>
  </cols>
  <sheetData>
    <row r="1" spans="1:3" ht="22.8">
      <c r="A1" s="22" t="s">
        <v>78</v>
      </c>
    </row>
    <row r="2" spans="1:3">
      <c r="A2" s="23" t="s">
        <v>79</v>
      </c>
    </row>
    <row r="4" spans="1:3" ht="18">
      <c r="A4" s="24" t="s">
        <v>0</v>
      </c>
    </row>
    <row r="5" spans="1:3">
      <c r="A5" s="6" t="s">
        <v>1</v>
      </c>
      <c r="B5" s="6" t="s">
        <v>2</v>
      </c>
      <c r="C5" s="6" t="s">
        <v>3</v>
      </c>
    </row>
    <row r="6" spans="1:3">
      <c r="A6" s="4" t="s">
        <v>80</v>
      </c>
      <c r="B6" s="5" t="s">
        <v>81</v>
      </c>
      <c r="C6" s="5" t="s">
        <v>4</v>
      </c>
    </row>
    <row r="7" spans="1:3" ht="30">
      <c r="A7" s="4" t="s">
        <v>82</v>
      </c>
      <c r="B7" s="5" t="s">
        <v>83</v>
      </c>
      <c r="C7" s="5" t="s">
        <v>205</v>
      </c>
    </row>
    <row r="8" spans="1:3" ht="30">
      <c r="A8" s="4" t="s">
        <v>84</v>
      </c>
      <c r="B8" s="5" t="s">
        <v>85</v>
      </c>
      <c r="C8" s="5" t="s">
        <v>86</v>
      </c>
    </row>
    <row r="10" spans="1:3" ht="18">
      <c r="A10" s="24" t="s">
        <v>87</v>
      </c>
    </row>
    <row r="12" spans="1:3" ht="15" customHeight="1">
      <c r="A12" s="38" t="s">
        <v>88</v>
      </c>
      <c r="B12" s="38"/>
      <c r="C12" s="38"/>
    </row>
    <row r="13" spans="1:3" ht="15" customHeight="1">
      <c r="A13" s="38" t="s">
        <v>89</v>
      </c>
      <c r="B13" s="38"/>
      <c r="C13" s="38"/>
    </row>
    <row r="14" spans="1:3" ht="15" customHeight="1">
      <c r="A14" s="38" t="s">
        <v>90</v>
      </c>
      <c r="B14" s="38"/>
      <c r="C14" s="38"/>
    </row>
    <row r="15" spans="1:3" ht="15" customHeight="1">
      <c r="A15" s="38" t="s">
        <v>91</v>
      </c>
      <c r="B15" s="38"/>
      <c r="C15" s="38"/>
    </row>
    <row r="16" spans="1:3" ht="15" customHeight="1">
      <c r="A16" s="38" t="s">
        <v>92</v>
      </c>
      <c r="B16" s="38"/>
      <c r="C16" s="38"/>
    </row>
    <row r="17" spans="1:3" ht="15" customHeight="1">
      <c r="A17" s="38" t="s">
        <v>93</v>
      </c>
      <c r="B17" s="38"/>
      <c r="C17" s="38"/>
    </row>
    <row r="19" spans="1:3" ht="18">
      <c r="A19" s="25" t="s">
        <v>94</v>
      </c>
    </row>
    <row r="20" spans="1:3" ht="15" customHeight="1">
      <c r="A20" s="26" t="s">
        <v>5</v>
      </c>
      <c r="B20" s="39" t="s">
        <v>2</v>
      </c>
      <c r="C20" s="39"/>
    </row>
    <row r="21" spans="1:3" ht="15" customHeight="1">
      <c r="A21" s="4" t="s">
        <v>6</v>
      </c>
      <c r="B21" s="37" t="s">
        <v>95</v>
      </c>
      <c r="C21" s="37"/>
    </row>
    <row r="22" spans="1:3" ht="15" customHeight="1">
      <c r="A22" s="4" t="s">
        <v>76</v>
      </c>
      <c r="B22" s="37" t="s">
        <v>96</v>
      </c>
      <c r="C22" s="37"/>
    </row>
    <row r="23" spans="1:3" ht="15" customHeight="1">
      <c r="A23" s="4" t="s">
        <v>77</v>
      </c>
      <c r="B23" s="37" t="s">
        <v>7</v>
      </c>
      <c r="C23" s="37"/>
    </row>
    <row r="24" spans="1:3" ht="15" customHeight="1">
      <c r="A24" s="4" t="s">
        <v>97</v>
      </c>
      <c r="B24" s="37" t="s">
        <v>98</v>
      </c>
      <c r="C24" s="37"/>
    </row>
    <row r="25" spans="1:3" ht="15" customHeight="1">
      <c r="A25" s="4" t="s">
        <v>99</v>
      </c>
      <c r="B25" s="37" t="s">
        <v>100</v>
      </c>
      <c r="C25" s="37"/>
    </row>
    <row r="27" spans="1:3" ht="18">
      <c r="A27" s="24" t="s">
        <v>8</v>
      </c>
    </row>
    <row r="28" spans="1:3">
      <c r="A28" s="27" t="s">
        <v>9</v>
      </c>
      <c r="B28" s="27" t="s">
        <v>10</v>
      </c>
      <c r="C28" s="27" t="s">
        <v>101</v>
      </c>
    </row>
    <row r="29" spans="1:3">
      <c r="A29" s="4" t="s">
        <v>102</v>
      </c>
      <c r="B29" s="5" t="s">
        <v>113</v>
      </c>
      <c r="C29" s="5" t="s">
        <v>103</v>
      </c>
    </row>
    <row r="30" spans="1:3">
      <c r="A30" s="4" t="s">
        <v>11</v>
      </c>
      <c r="B30" s="5" t="s">
        <v>104</v>
      </c>
      <c r="C30" s="5" t="s">
        <v>105</v>
      </c>
    </row>
    <row r="31" spans="1:3">
      <c r="A31" s="4" t="s">
        <v>106</v>
      </c>
      <c r="B31" s="5" t="s">
        <v>12</v>
      </c>
      <c r="C31" s="5" t="s">
        <v>114</v>
      </c>
    </row>
    <row r="32" spans="1:3">
      <c r="A32" s="4" t="s">
        <v>107</v>
      </c>
      <c r="B32" s="5" t="s">
        <v>108</v>
      </c>
      <c r="C32" s="5" t="s">
        <v>109</v>
      </c>
    </row>
    <row r="33" spans="1:3">
      <c r="A33" s="4" t="s">
        <v>110</v>
      </c>
      <c r="B33" s="5" t="s">
        <v>111</v>
      </c>
      <c r="C33" s="5" t="s">
        <v>112</v>
      </c>
    </row>
  </sheetData>
  <mergeCells count="12">
    <mergeCell ref="A12:C12"/>
    <mergeCell ref="A13:C13"/>
    <mergeCell ref="A14:C14"/>
    <mergeCell ref="A15:C15"/>
    <mergeCell ref="A16:C16"/>
    <mergeCell ref="B24:C24"/>
    <mergeCell ref="B25:C25"/>
    <mergeCell ref="A17:C17"/>
    <mergeCell ref="B20:C20"/>
    <mergeCell ref="B21:C21"/>
    <mergeCell ref="B22:C22"/>
    <mergeCell ref="B23:C23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showGridLines="0" tabSelected="1" zoomScale="85" zoomScaleNormal="85" workbookViewId="0">
      <pane ySplit="1" topLeftCell="A2" activePane="bottomLeft" state="frozen"/>
      <selection pane="bottomLeft" activeCell="E5" sqref="E5"/>
    </sheetView>
  </sheetViews>
  <sheetFormatPr defaultColWidth="8.68359375" defaultRowHeight="14.4"/>
  <cols>
    <col min="1" max="1" width="6.62890625" style="35" customWidth="1"/>
    <col min="2" max="2" width="8" style="35" customWidth="1"/>
    <col min="3" max="3" width="34.15625" style="35" customWidth="1"/>
    <col min="4" max="4" width="23.5234375" style="35" customWidth="1"/>
    <col min="5" max="5" width="22" style="35" customWidth="1"/>
    <col min="6" max="7" width="34" style="35" customWidth="1"/>
    <col min="8" max="8" width="30.62890625" style="35" customWidth="1"/>
    <col min="9" max="9" width="16" style="35" customWidth="1"/>
    <col min="10" max="10" width="26" style="35" customWidth="1"/>
    <col min="11" max="11" width="40" style="35" customWidth="1"/>
    <col min="12" max="12" width="55.15625" style="35" customWidth="1"/>
    <col min="13" max="16384" width="8.68359375" style="35"/>
  </cols>
  <sheetData>
    <row r="1" spans="1:12" ht="33.75" customHeight="1">
      <c r="A1" s="6" t="s">
        <v>13</v>
      </c>
      <c r="B1" s="6" t="s">
        <v>5</v>
      </c>
      <c r="C1" s="6" t="s">
        <v>14</v>
      </c>
      <c r="D1" s="6" t="s">
        <v>15</v>
      </c>
      <c r="E1" s="6" t="s">
        <v>16</v>
      </c>
      <c r="F1" s="6" t="s">
        <v>116</v>
      </c>
      <c r="G1" s="6" t="s">
        <v>17</v>
      </c>
      <c r="H1" s="6" t="s">
        <v>117</v>
      </c>
      <c r="I1" s="6" t="s">
        <v>18</v>
      </c>
      <c r="J1" s="6" t="s">
        <v>118</v>
      </c>
      <c r="K1" s="6" t="s">
        <v>19</v>
      </c>
      <c r="L1" s="6" t="s">
        <v>119</v>
      </c>
    </row>
    <row r="2" spans="1:12" ht="70" customHeight="1">
      <c r="A2" s="7">
        <v>1</v>
      </c>
      <c r="B2" s="32" t="s">
        <v>20</v>
      </c>
      <c r="C2" s="29" t="s">
        <v>21</v>
      </c>
      <c r="D2" s="29" t="s">
        <v>120</v>
      </c>
      <c r="E2" s="29" t="s">
        <v>121</v>
      </c>
      <c r="F2" s="29" t="s">
        <v>122</v>
      </c>
      <c r="G2" s="29" t="s">
        <v>123</v>
      </c>
      <c r="H2" s="8" t="s">
        <v>207</v>
      </c>
      <c r="I2" s="29" t="s">
        <v>124</v>
      </c>
      <c r="J2" s="29" t="s">
        <v>125</v>
      </c>
      <c r="K2" s="30" t="s">
        <v>22</v>
      </c>
      <c r="L2" s="29" t="s">
        <v>126</v>
      </c>
    </row>
    <row r="3" spans="1:12" ht="70" customHeight="1">
      <c r="A3" s="7">
        <v>2</v>
      </c>
      <c r="B3" s="32" t="s">
        <v>20</v>
      </c>
      <c r="C3" s="29" t="s">
        <v>127</v>
      </c>
      <c r="D3" s="29" t="s">
        <v>128</v>
      </c>
      <c r="E3" s="29" t="s">
        <v>129</v>
      </c>
      <c r="F3" s="29" t="s">
        <v>130</v>
      </c>
      <c r="G3" s="29" t="s">
        <v>131</v>
      </c>
      <c r="H3" s="8" t="s">
        <v>132</v>
      </c>
      <c r="I3" s="29" t="s">
        <v>133</v>
      </c>
      <c r="J3" s="29" t="s">
        <v>134</v>
      </c>
      <c r="K3" s="33" t="s">
        <v>115</v>
      </c>
      <c r="L3" s="29" t="s">
        <v>135</v>
      </c>
    </row>
    <row r="4" spans="1:12" ht="70" customHeight="1">
      <c r="A4" s="7">
        <v>3</v>
      </c>
      <c r="B4" s="32" t="s">
        <v>20</v>
      </c>
      <c r="C4" s="29" t="s">
        <v>136</v>
      </c>
      <c r="D4" s="29" t="s">
        <v>137</v>
      </c>
      <c r="E4" s="29" t="s">
        <v>138</v>
      </c>
      <c r="F4" s="29" t="s">
        <v>139</v>
      </c>
      <c r="G4" s="29" t="s">
        <v>140</v>
      </c>
      <c r="H4" s="8" t="s">
        <v>141</v>
      </c>
      <c r="I4" s="29" t="s">
        <v>142</v>
      </c>
      <c r="J4" s="29" t="s">
        <v>143</v>
      </c>
      <c r="K4" s="30" t="s">
        <v>23</v>
      </c>
      <c r="L4" s="29" t="s">
        <v>144</v>
      </c>
    </row>
    <row r="5" spans="1:12" ht="70" customHeight="1">
      <c r="A5" s="7">
        <v>4</v>
      </c>
      <c r="B5" s="32" t="s">
        <v>20</v>
      </c>
      <c r="C5" s="29" t="s">
        <v>145</v>
      </c>
      <c r="D5" s="29" t="s">
        <v>137</v>
      </c>
      <c r="E5" s="29" t="s">
        <v>146</v>
      </c>
      <c r="F5" s="29" t="s">
        <v>147</v>
      </c>
      <c r="G5" s="29" t="s">
        <v>24</v>
      </c>
      <c r="H5" s="8" t="s">
        <v>148</v>
      </c>
      <c r="I5" s="29" t="s">
        <v>149</v>
      </c>
      <c r="J5" s="29" t="s">
        <v>150</v>
      </c>
      <c r="K5" s="30" t="s">
        <v>23</v>
      </c>
      <c r="L5" s="29" t="s">
        <v>151</v>
      </c>
    </row>
    <row r="6" spans="1:12" ht="70" customHeight="1">
      <c r="A6" s="7">
        <v>5</v>
      </c>
      <c r="B6" s="32" t="s">
        <v>20</v>
      </c>
      <c r="C6" s="29" t="s">
        <v>152</v>
      </c>
      <c r="D6" s="29" t="s">
        <v>137</v>
      </c>
      <c r="E6" s="29" t="s">
        <v>153</v>
      </c>
      <c r="F6" s="29" t="s">
        <v>154</v>
      </c>
      <c r="G6" s="29" t="s">
        <v>155</v>
      </c>
      <c r="H6" s="8" t="s">
        <v>156</v>
      </c>
      <c r="I6" s="29" t="s">
        <v>157</v>
      </c>
      <c r="J6" s="29" t="s">
        <v>158</v>
      </c>
      <c r="K6" s="30" t="s">
        <v>25</v>
      </c>
      <c r="L6" s="29" t="s">
        <v>159</v>
      </c>
    </row>
    <row r="7" spans="1:12" ht="70" customHeight="1">
      <c r="A7" s="7">
        <v>6</v>
      </c>
      <c r="B7" s="32" t="s">
        <v>20</v>
      </c>
      <c r="C7" s="29" t="s">
        <v>160</v>
      </c>
      <c r="D7" s="29" t="s">
        <v>137</v>
      </c>
      <c r="E7" s="29" t="s">
        <v>161</v>
      </c>
      <c r="F7" s="29" t="s">
        <v>162</v>
      </c>
      <c r="G7" s="29" t="s">
        <v>163</v>
      </c>
      <c r="H7" s="8" t="s">
        <v>164</v>
      </c>
      <c r="I7" s="29" t="s">
        <v>165</v>
      </c>
      <c r="J7" s="29" t="s">
        <v>166</v>
      </c>
      <c r="K7" s="30" t="s">
        <v>26</v>
      </c>
      <c r="L7" s="29" t="s">
        <v>167</v>
      </c>
    </row>
    <row r="8" spans="1:12" ht="70" customHeight="1">
      <c r="A8" s="7">
        <v>7</v>
      </c>
      <c r="B8" s="32" t="s">
        <v>20</v>
      </c>
      <c r="C8" s="29" t="s">
        <v>168</v>
      </c>
      <c r="D8" s="29" t="s">
        <v>169</v>
      </c>
      <c r="E8" s="29" t="s">
        <v>170</v>
      </c>
      <c r="F8" s="29" t="s">
        <v>171</v>
      </c>
      <c r="G8" s="29" t="s">
        <v>172</v>
      </c>
      <c r="H8" s="8" t="s">
        <v>173</v>
      </c>
      <c r="I8" s="29" t="s">
        <v>174</v>
      </c>
      <c r="J8" s="29" t="s">
        <v>175</v>
      </c>
      <c r="K8" s="30" t="s">
        <v>27</v>
      </c>
      <c r="L8" s="29" t="s">
        <v>176</v>
      </c>
    </row>
    <row r="9" spans="1:12" ht="70" customHeight="1">
      <c r="A9" s="7">
        <v>8</v>
      </c>
      <c r="B9" s="32" t="s">
        <v>20</v>
      </c>
      <c r="C9" s="29" t="s">
        <v>177</v>
      </c>
      <c r="D9" s="29" t="s">
        <v>169</v>
      </c>
      <c r="E9" s="29" t="s">
        <v>178</v>
      </c>
      <c r="F9" s="29" t="s">
        <v>179</v>
      </c>
      <c r="G9" s="29" t="s">
        <v>180</v>
      </c>
      <c r="H9" s="8" t="s">
        <v>181</v>
      </c>
      <c r="I9" s="29" t="s">
        <v>182</v>
      </c>
      <c r="J9" s="29" t="s">
        <v>183</v>
      </c>
      <c r="K9" s="30" t="s">
        <v>28</v>
      </c>
      <c r="L9" s="29" t="s">
        <v>184</v>
      </c>
    </row>
    <row r="10" spans="1:12" ht="70" customHeight="1">
      <c r="A10" s="7">
        <v>9</v>
      </c>
      <c r="B10" s="32" t="s">
        <v>20</v>
      </c>
      <c r="C10" s="29" t="s">
        <v>185</v>
      </c>
      <c r="D10" s="29" t="s">
        <v>169</v>
      </c>
      <c r="E10" s="29" t="s">
        <v>178</v>
      </c>
      <c r="F10" s="29" t="s">
        <v>186</v>
      </c>
      <c r="G10" s="29" t="s">
        <v>187</v>
      </c>
      <c r="H10" s="8" t="s">
        <v>181</v>
      </c>
      <c r="I10" s="29" t="s">
        <v>188</v>
      </c>
      <c r="J10" s="29" t="s">
        <v>183</v>
      </c>
      <c r="K10" s="30" t="s">
        <v>29</v>
      </c>
      <c r="L10" s="29" t="s">
        <v>189</v>
      </c>
    </row>
    <row r="11" spans="1:12" ht="70" customHeight="1">
      <c r="A11" s="9">
        <v>10</v>
      </c>
      <c r="B11" s="34" t="s">
        <v>30</v>
      </c>
      <c r="C11" s="28" t="s">
        <v>190</v>
      </c>
      <c r="D11" s="28" t="s">
        <v>191</v>
      </c>
      <c r="E11" s="28" t="s">
        <v>192</v>
      </c>
      <c r="F11" s="28" t="s">
        <v>193</v>
      </c>
      <c r="G11" s="28" t="s">
        <v>194</v>
      </c>
      <c r="H11" s="8" t="s">
        <v>195</v>
      </c>
      <c r="I11" s="28" t="s">
        <v>196</v>
      </c>
      <c r="J11" s="28" t="s">
        <v>197</v>
      </c>
      <c r="K11" s="31" t="s">
        <v>31</v>
      </c>
      <c r="L11" s="28" t="s">
        <v>198</v>
      </c>
    </row>
    <row r="12" spans="1:12" ht="70" customHeight="1">
      <c r="A12" s="9">
        <v>11</v>
      </c>
      <c r="B12" s="34" t="s">
        <v>30</v>
      </c>
      <c r="C12" s="28" t="s">
        <v>32</v>
      </c>
      <c r="D12" s="28" t="s">
        <v>33</v>
      </c>
      <c r="E12" s="28" t="s">
        <v>199</v>
      </c>
      <c r="F12" s="28" t="s">
        <v>200</v>
      </c>
      <c r="G12" s="28" t="s">
        <v>34</v>
      </c>
      <c r="H12" s="8" t="s">
        <v>201</v>
      </c>
      <c r="I12" s="28" t="s">
        <v>202</v>
      </c>
      <c r="J12" s="28" t="s">
        <v>203</v>
      </c>
      <c r="K12" s="31" t="s">
        <v>35</v>
      </c>
      <c r="L12" s="28" t="s">
        <v>204</v>
      </c>
    </row>
  </sheetData>
  <autoFilter ref="A1:L12" xr:uid="{00000000-0001-0000-0100-000000000000}"/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showGridLines="0" zoomScaleNormal="100" workbookViewId="0">
      <pane ySplit="5" topLeftCell="A6" activePane="bottomLeft" state="frozen"/>
      <selection pane="bottomLeft" activeCell="L19" sqref="L19"/>
    </sheetView>
  </sheetViews>
  <sheetFormatPr defaultColWidth="8.68359375" defaultRowHeight="14.4"/>
  <cols>
    <col min="1" max="1" width="5" customWidth="1"/>
    <col min="2" max="2" width="12" customWidth="1"/>
    <col min="3" max="3" width="11" customWidth="1"/>
    <col min="4" max="4" width="15" customWidth="1"/>
    <col min="5" max="5" width="16" customWidth="1"/>
    <col min="6" max="7" width="15" customWidth="1"/>
    <col min="8" max="8" width="16" customWidth="1"/>
  </cols>
  <sheetData>
    <row r="1" spans="1:8" ht="19.8">
      <c r="A1" s="10" t="s">
        <v>36</v>
      </c>
    </row>
    <row r="2" spans="1:8" ht="14.7">
      <c r="A2" s="36" t="s">
        <v>206</v>
      </c>
    </row>
    <row r="3" spans="1:8" ht="14.7">
      <c r="A3" s="2" t="s">
        <v>37</v>
      </c>
    </row>
    <row r="5" spans="1:8" ht="15">
      <c r="A5" s="6" t="s">
        <v>13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</row>
    <row r="6" spans="1:8" ht="15">
      <c r="A6" s="11">
        <v>1</v>
      </c>
      <c r="B6" s="12" t="s">
        <v>45</v>
      </c>
      <c r="C6" s="13">
        <v>24</v>
      </c>
      <c r="D6" s="13">
        <v>1816</v>
      </c>
      <c r="E6" s="13">
        <v>1080</v>
      </c>
      <c r="F6" s="13">
        <v>1645</v>
      </c>
      <c r="G6" s="14">
        <v>0.23799999999999999</v>
      </c>
      <c r="H6" s="14">
        <f t="shared" ref="H6:H31" si="0">(D6+E6)/4541</f>
        <v>0.63774499009028851</v>
      </c>
    </row>
    <row r="7" spans="1:8" ht="15">
      <c r="A7" s="12">
        <v>2</v>
      </c>
      <c r="B7" s="12" t="s">
        <v>46</v>
      </c>
      <c r="C7" s="13">
        <v>38</v>
      </c>
      <c r="D7" s="13">
        <v>1816</v>
      </c>
      <c r="E7" s="13">
        <v>908</v>
      </c>
      <c r="F7" s="13">
        <v>1817</v>
      </c>
      <c r="G7" s="14">
        <v>0.2</v>
      </c>
      <c r="H7" s="14">
        <f t="shared" si="0"/>
        <v>0.59986787051310286</v>
      </c>
    </row>
    <row r="8" spans="1:8" ht="15">
      <c r="A8" s="12">
        <v>3</v>
      </c>
      <c r="B8" s="12" t="s">
        <v>47</v>
      </c>
      <c r="C8" s="13">
        <v>18</v>
      </c>
      <c r="D8" s="13">
        <v>1816</v>
      </c>
      <c r="E8" s="13">
        <v>1363</v>
      </c>
      <c r="F8" s="13">
        <v>1362</v>
      </c>
      <c r="G8" s="14">
        <v>0.3</v>
      </c>
      <c r="H8" s="14">
        <f t="shared" si="0"/>
        <v>0.70006606474344857</v>
      </c>
    </row>
    <row r="9" spans="1:8" ht="15">
      <c r="A9" s="12">
        <v>4</v>
      </c>
      <c r="B9" s="12" t="s">
        <v>48</v>
      </c>
      <c r="C9" s="13">
        <v>2</v>
      </c>
      <c r="D9" s="13">
        <v>1816</v>
      </c>
      <c r="E9" s="13">
        <v>2166</v>
      </c>
      <c r="F9" s="13">
        <v>559</v>
      </c>
      <c r="G9" s="14">
        <v>0.47699999999999998</v>
      </c>
      <c r="H9" s="14">
        <f t="shared" si="0"/>
        <v>0.8768993613741467</v>
      </c>
    </row>
    <row r="10" spans="1:8" ht="15">
      <c r="A10" s="12">
        <v>5</v>
      </c>
      <c r="B10" s="12" t="s">
        <v>49</v>
      </c>
      <c r="C10" s="13">
        <v>90</v>
      </c>
      <c r="D10" s="13">
        <v>1816</v>
      </c>
      <c r="E10" s="13">
        <v>908</v>
      </c>
      <c r="F10" s="13">
        <v>1817</v>
      </c>
      <c r="G10" s="14">
        <v>0.2</v>
      </c>
      <c r="H10" s="14">
        <f t="shared" si="0"/>
        <v>0.59986787051310286</v>
      </c>
    </row>
    <row r="11" spans="1:8" ht="15">
      <c r="A11" s="12">
        <v>6</v>
      </c>
      <c r="B11" s="12" t="s">
        <v>50</v>
      </c>
      <c r="C11" s="13">
        <v>8</v>
      </c>
      <c r="D11" s="13">
        <v>1816</v>
      </c>
      <c r="E11" s="13">
        <v>908</v>
      </c>
      <c r="F11" s="13">
        <v>1817</v>
      </c>
      <c r="G11" s="14">
        <v>0.2</v>
      </c>
      <c r="H11" s="14">
        <f t="shared" si="0"/>
        <v>0.59986787051310286</v>
      </c>
    </row>
    <row r="12" spans="1:8" ht="15">
      <c r="A12" s="12">
        <v>7</v>
      </c>
      <c r="B12" s="12" t="s">
        <v>51</v>
      </c>
      <c r="C12" s="13">
        <v>5</v>
      </c>
      <c r="D12" s="13">
        <v>1816</v>
      </c>
      <c r="E12" s="13">
        <v>1362</v>
      </c>
      <c r="F12" s="13">
        <v>1363</v>
      </c>
      <c r="G12" s="14">
        <v>0.3</v>
      </c>
      <c r="H12" s="14">
        <f t="shared" si="0"/>
        <v>0.69984584893195334</v>
      </c>
    </row>
    <row r="13" spans="1:8" ht="15">
      <c r="A13" s="12">
        <v>8</v>
      </c>
      <c r="B13" s="12" t="s">
        <v>52</v>
      </c>
      <c r="C13" s="13">
        <v>114</v>
      </c>
      <c r="D13" s="13">
        <v>1816</v>
      </c>
      <c r="E13" s="13">
        <v>1362</v>
      </c>
      <c r="F13" s="13">
        <v>1363</v>
      </c>
      <c r="G13" s="14">
        <v>0.3</v>
      </c>
      <c r="H13" s="14">
        <f t="shared" si="0"/>
        <v>0.69984584893195334</v>
      </c>
    </row>
    <row r="14" spans="1:8" ht="15">
      <c r="A14" s="12">
        <v>9</v>
      </c>
      <c r="B14" s="12" t="s">
        <v>53</v>
      </c>
      <c r="C14" s="13">
        <v>20</v>
      </c>
      <c r="D14" s="13">
        <v>1816</v>
      </c>
      <c r="E14" s="13">
        <v>908</v>
      </c>
      <c r="F14" s="13">
        <v>1817</v>
      </c>
      <c r="G14" s="14">
        <v>0.2</v>
      </c>
      <c r="H14" s="14">
        <f t="shared" si="0"/>
        <v>0.59986787051310286</v>
      </c>
    </row>
    <row r="15" spans="1:8" ht="15">
      <c r="A15" s="12">
        <v>10</v>
      </c>
      <c r="B15" s="12" t="s">
        <v>54</v>
      </c>
      <c r="C15" s="13">
        <v>10</v>
      </c>
      <c r="D15" s="13">
        <v>1816</v>
      </c>
      <c r="E15" s="13">
        <v>908</v>
      </c>
      <c r="F15" s="13">
        <v>1817</v>
      </c>
      <c r="G15" s="14">
        <v>0.2</v>
      </c>
      <c r="H15" s="14">
        <f t="shared" si="0"/>
        <v>0.59986787051310286</v>
      </c>
    </row>
    <row r="16" spans="1:8" ht="15">
      <c r="A16" s="12">
        <v>11</v>
      </c>
      <c r="B16" s="12" t="s">
        <v>55</v>
      </c>
      <c r="C16" s="13">
        <v>35</v>
      </c>
      <c r="D16" s="13">
        <v>1816</v>
      </c>
      <c r="E16" s="13">
        <v>1484</v>
      </c>
      <c r="F16" s="13">
        <v>1241</v>
      </c>
      <c r="G16" s="14">
        <v>0.32700000000000001</v>
      </c>
      <c r="H16" s="14">
        <f t="shared" si="0"/>
        <v>0.7267121779343757</v>
      </c>
    </row>
    <row r="17" spans="1:8" ht="15">
      <c r="A17" s="12">
        <v>12</v>
      </c>
      <c r="B17" s="12" t="s">
        <v>56</v>
      </c>
      <c r="C17" s="13">
        <v>8</v>
      </c>
      <c r="D17" s="13">
        <v>1816</v>
      </c>
      <c r="E17" s="13">
        <v>987</v>
      </c>
      <c r="F17" s="13">
        <v>1738</v>
      </c>
      <c r="G17" s="14">
        <v>0.217</v>
      </c>
      <c r="H17" s="14">
        <f t="shared" si="0"/>
        <v>0.61726491962122876</v>
      </c>
    </row>
    <row r="18" spans="1:8" ht="15">
      <c r="A18" s="12">
        <v>13</v>
      </c>
      <c r="B18" s="12" t="s">
        <v>57</v>
      </c>
      <c r="C18" s="13">
        <v>80</v>
      </c>
      <c r="D18" s="13">
        <v>1816</v>
      </c>
      <c r="E18" s="13">
        <v>1362</v>
      </c>
      <c r="F18" s="13">
        <v>1363</v>
      </c>
      <c r="G18" s="14">
        <v>0.3</v>
      </c>
      <c r="H18" s="14">
        <f t="shared" si="0"/>
        <v>0.69984584893195334</v>
      </c>
    </row>
    <row r="19" spans="1:8" ht="15">
      <c r="A19" s="12">
        <v>14</v>
      </c>
      <c r="B19" s="12" t="s">
        <v>58</v>
      </c>
      <c r="C19" s="13">
        <v>100</v>
      </c>
      <c r="D19" s="13">
        <v>1816</v>
      </c>
      <c r="E19" s="13">
        <v>988</v>
      </c>
      <c r="F19" s="13">
        <v>1737</v>
      </c>
      <c r="G19" s="14">
        <v>0.218</v>
      </c>
      <c r="H19" s="14">
        <f t="shared" si="0"/>
        <v>0.6174851354327241</v>
      </c>
    </row>
    <row r="20" spans="1:8" ht="15">
      <c r="A20" s="12">
        <v>15</v>
      </c>
      <c r="B20" s="12" t="s">
        <v>59</v>
      </c>
      <c r="C20" s="13">
        <v>45</v>
      </c>
      <c r="D20" s="13">
        <v>1816</v>
      </c>
      <c r="E20" s="13">
        <v>1000</v>
      </c>
      <c r="F20" s="13">
        <v>1725</v>
      </c>
      <c r="G20" s="14">
        <v>0.22</v>
      </c>
      <c r="H20" s="14">
        <f t="shared" si="0"/>
        <v>0.62012772517066728</v>
      </c>
    </row>
    <row r="21" spans="1:8" ht="15">
      <c r="A21" s="12">
        <v>16</v>
      </c>
      <c r="B21" s="12" t="s">
        <v>60</v>
      </c>
      <c r="C21" s="13">
        <v>77</v>
      </c>
      <c r="D21" s="13">
        <v>1816</v>
      </c>
      <c r="E21" s="13">
        <v>1544</v>
      </c>
      <c r="F21" s="13">
        <v>1181</v>
      </c>
      <c r="G21" s="14">
        <v>0.34</v>
      </c>
      <c r="H21" s="14">
        <f t="shared" si="0"/>
        <v>0.7399251266240916</v>
      </c>
    </row>
    <row r="22" spans="1:8" ht="15">
      <c r="A22" s="12">
        <v>17</v>
      </c>
      <c r="B22" s="12" t="s">
        <v>61</v>
      </c>
      <c r="C22" s="13">
        <v>10</v>
      </c>
      <c r="D22" s="13">
        <v>1816</v>
      </c>
      <c r="E22" s="13">
        <v>986</v>
      </c>
      <c r="F22" s="13">
        <v>1739</v>
      </c>
      <c r="G22" s="14">
        <v>0.217</v>
      </c>
      <c r="H22" s="14">
        <f t="shared" si="0"/>
        <v>0.61704470380973353</v>
      </c>
    </row>
    <row r="23" spans="1:8" ht="15">
      <c r="A23" s="12">
        <v>18</v>
      </c>
      <c r="B23" s="12" t="s">
        <v>62</v>
      </c>
      <c r="C23" s="13">
        <v>30</v>
      </c>
      <c r="D23" s="13">
        <v>1816</v>
      </c>
      <c r="E23" s="13">
        <v>455</v>
      </c>
      <c r="F23" s="13">
        <v>2270</v>
      </c>
      <c r="G23" s="14">
        <v>0.1</v>
      </c>
      <c r="H23" s="14">
        <f t="shared" si="0"/>
        <v>0.50011010790574761</v>
      </c>
    </row>
    <row r="24" spans="1:8" ht="15">
      <c r="A24" s="12">
        <v>19</v>
      </c>
      <c r="B24" s="12" t="s">
        <v>63</v>
      </c>
      <c r="C24" s="13">
        <v>13</v>
      </c>
      <c r="D24" s="13">
        <v>1816</v>
      </c>
      <c r="E24" s="13">
        <v>1362</v>
      </c>
      <c r="F24" s="13">
        <v>1363</v>
      </c>
      <c r="G24" s="14">
        <v>0.3</v>
      </c>
      <c r="H24" s="14">
        <f t="shared" si="0"/>
        <v>0.69984584893195334</v>
      </c>
    </row>
    <row r="25" spans="1:8" ht="15">
      <c r="A25" s="12">
        <v>20</v>
      </c>
      <c r="B25" s="12" t="s">
        <v>64</v>
      </c>
      <c r="C25" s="13">
        <v>32</v>
      </c>
      <c r="D25" s="13">
        <v>1816</v>
      </c>
      <c r="E25" s="13">
        <v>1362</v>
      </c>
      <c r="F25" s="13">
        <v>1363</v>
      </c>
      <c r="G25" s="14">
        <v>0.3</v>
      </c>
      <c r="H25" s="14">
        <f t="shared" si="0"/>
        <v>0.69984584893195334</v>
      </c>
    </row>
    <row r="26" spans="1:8" ht="15">
      <c r="A26" s="12">
        <v>21</v>
      </c>
      <c r="B26" s="12" t="s">
        <v>65</v>
      </c>
      <c r="C26" s="13">
        <v>130</v>
      </c>
      <c r="D26" s="13">
        <v>1816</v>
      </c>
      <c r="E26" s="13">
        <v>1000</v>
      </c>
      <c r="F26" s="13">
        <v>1725</v>
      </c>
      <c r="G26" s="14">
        <v>0.22</v>
      </c>
      <c r="H26" s="14">
        <f t="shared" si="0"/>
        <v>0.62012772517066728</v>
      </c>
    </row>
    <row r="27" spans="1:8" ht="15">
      <c r="A27" s="12">
        <v>22</v>
      </c>
      <c r="B27" s="12" t="s">
        <v>66</v>
      </c>
      <c r="C27" s="13">
        <v>347</v>
      </c>
      <c r="D27" s="13">
        <v>1816</v>
      </c>
      <c r="E27" s="13">
        <v>1816</v>
      </c>
      <c r="F27" s="13">
        <v>909</v>
      </c>
      <c r="G27" s="14">
        <v>0.4</v>
      </c>
      <c r="H27" s="14">
        <f t="shared" si="0"/>
        <v>0.79982382735080382</v>
      </c>
    </row>
    <row r="28" spans="1:8" ht="15">
      <c r="A28" s="12">
        <v>23</v>
      </c>
      <c r="B28" s="12" t="s">
        <v>67</v>
      </c>
      <c r="C28" s="13">
        <v>49</v>
      </c>
      <c r="D28" s="13">
        <v>1816</v>
      </c>
      <c r="E28" s="13">
        <v>960</v>
      </c>
      <c r="F28" s="13">
        <v>1765</v>
      </c>
      <c r="G28" s="14">
        <v>0.21099999999999999</v>
      </c>
      <c r="H28" s="14">
        <f t="shared" si="0"/>
        <v>0.6113190927108566</v>
      </c>
    </row>
    <row r="29" spans="1:8" ht="15">
      <c r="A29" s="12">
        <v>24</v>
      </c>
      <c r="B29" s="12" t="s">
        <v>68</v>
      </c>
      <c r="C29" s="13">
        <v>97</v>
      </c>
      <c r="D29" s="13">
        <v>1816</v>
      </c>
      <c r="E29" s="13">
        <v>1362</v>
      </c>
      <c r="F29" s="13">
        <v>1363</v>
      </c>
      <c r="G29" s="14">
        <v>0.3</v>
      </c>
      <c r="H29" s="14">
        <f t="shared" si="0"/>
        <v>0.69984584893195334</v>
      </c>
    </row>
    <row r="30" spans="1:8" ht="15">
      <c r="A30" s="12">
        <v>25</v>
      </c>
      <c r="B30" s="12" t="s">
        <v>69</v>
      </c>
      <c r="C30" s="13">
        <v>15</v>
      </c>
      <c r="D30" s="13">
        <v>1816</v>
      </c>
      <c r="E30" s="13">
        <v>1068</v>
      </c>
      <c r="F30" s="13">
        <v>1657</v>
      </c>
      <c r="G30" s="14">
        <v>0.23499999999999999</v>
      </c>
      <c r="H30" s="14">
        <f t="shared" si="0"/>
        <v>0.63510240035234533</v>
      </c>
    </row>
    <row r="31" spans="1:8" ht="15">
      <c r="A31" s="15">
        <v>26</v>
      </c>
      <c r="B31" s="16" t="s">
        <v>70</v>
      </c>
      <c r="C31" s="17">
        <v>123</v>
      </c>
      <c r="D31" s="17">
        <v>1816</v>
      </c>
      <c r="E31" s="17">
        <v>925</v>
      </c>
      <c r="F31" s="17">
        <v>1800</v>
      </c>
      <c r="G31" s="18">
        <v>0.20399999999999999</v>
      </c>
      <c r="H31" s="18">
        <f t="shared" si="0"/>
        <v>0.6036115393085224</v>
      </c>
    </row>
    <row r="32" spans="1:8" ht="15">
      <c r="A32" s="3"/>
      <c r="B32" s="3" t="s">
        <v>71</v>
      </c>
      <c r="C32" s="19">
        <f>SUM(C6:C31)</f>
        <v>1520</v>
      </c>
      <c r="D32" s="3"/>
      <c r="E32" s="3"/>
      <c r="F32" s="3"/>
      <c r="G32" s="3"/>
      <c r="H32" s="3"/>
    </row>
    <row r="33" spans="1:8" ht="15" customHeight="1">
      <c r="A33" s="20"/>
      <c r="B33" s="1" t="s">
        <v>72</v>
      </c>
      <c r="C33" s="40" t="s">
        <v>73</v>
      </c>
      <c r="D33" s="40"/>
      <c r="E33" s="40"/>
      <c r="F33" s="40"/>
      <c r="G33" s="40"/>
      <c r="H33" s="40"/>
    </row>
    <row r="35" spans="1:8" ht="14.7">
      <c r="A35" s="41" t="s">
        <v>74</v>
      </c>
      <c r="B35" s="41"/>
      <c r="C35" s="41"/>
      <c r="D35" s="41"/>
      <c r="E35" s="41"/>
      <c r="F35" s="41"/>
      <c r="G35" s="41"/>
      <c r="H35" s="41"/>
    </row>
    <row r="36" spans="1:8" ht="14.7">
      <c r="A36" s="41" t="s">
        <v>75</v>
      </c>
      <c r="B36" s="41"/>
      <c r="C36" s="41"/>
      <c r="D36" s="41"/>
      <c r="E36" s="41"/>
      <c r="F36" s="41"/>
      <c r="G36" s="41"/>
      <c r="H36" s="41"/>
    </row>
  </sheetData>
  <mergeCells count="3">
    <mergeCell ref="C33:H33"/>
    <mergeCell ref="A35:H35"/>
    <mergeCell ref="A36:H36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00_메타정보</vt:lpstr>
      <vt:lpstr>01_지원사업</vt:lpstr>
      <vt:lpstr>02_경기주택태양광_시군별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양인성</cp:lastModifiedBy>
  <cp:revision>0</cp:revision>
  <dcterms:created xsi:type="dcterms:W3CDTF">2026-05-25T12:28:25Z</dcterms:created>
  <dcterms:modified xsi:type="dcterms:W3CDTF">2026-05-25T13:00:49Z</dcterms:modified>
  <dc:language>en-US</dc:language>
</cp:coreProperties>
</file>